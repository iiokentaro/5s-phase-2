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<sst xmlns="http://schemas.openxmlformats.org/spreadsheetml/2006/main" count="111" uniqueCount="33">
  <si>
    <t xml:space="preserve">Segment ID</t>
  </si>
  <si>
    <t xml:space="preserve">AADT_obs</t>
  </si>
  <si>
    <t xml:space="preserve">AADT_yr</t>
  </si>
  <si>
    <t xml:space="preserve">AADT_project</t>
  </si>
  <si>
    <t xml:space="preserve">f_growth_to_prpobe_year</t>
  </si>
  <si>
    <t xml:space="preserve">AADT_probe_yr</t>
  </si>
  <si>
    <t xml:space="preserve">SampleSize_avg</t>
  </si>
  <si>
    <t xml:space="preserve">ProbeYear</t>
  </si>
  <si>
    <t xml:space="preserve">Scale</t>
  </si>
  <si>
    <t xml:space="preserve">Pearson's r</t>
  </si>
  <si>
    <t xml:space="preserve">WeighedScale</t>
  </si>
  <si>
    <t xml:space="preserve">Scaling_to_2025</t>
  </si>
  <si>
    <t xml:space="preserve">AADT_2025</t>
  </si>
  <si>
    <t xml:space="preserve">maharashtra_2225</t>
  </si>
  <si>
    <t xml:space="preserve">maharashtra_2712</t>
  </si>
  <si>
    <t xml:space="preserve">maharashtra_3242</t>
  </si>
  <si>
    <t xml:space="preserve">maharashtra_3633</t>
  </si>
  <si>
    <t xml:space="preserve">thailand_37883</t>
  </si>
  <si>
    <t xml:space="preserve">thailand_50099</t>
  </si>
  <si>
    <t xml:space="preserve">thailand_53097</t>
  </si>
  <si>
    <t xml:space="preserve">https://data.worldbank.org/indicator/NY.GDP.MKTP.KD.ZG</t>
  </si>
  <si>
    <t xml:space="preserve">Country Name</t>
  </si>
  <si>
    <t xml:space="preserve">India</t>
  </si>
  <si>
    <t xml:space="preserve">Thailand</t>
  </si>
  <si>
    <t xml:space="preserve">→</t>
  </si>
  <si>
    <t xml:space="preserve">Country Code</t>
  </si>
  <si>
    <t xml:space="preserve">IND</t>
  </si>
  <si>
    <t xml:space="preserve">THA</t>
  </si>
  <si>
    <t xml:space="preserve">Indicator Name</t>
  </si>
  <si>
    <t xml:space="preserve">GDP growth (annual %)</t>
  </si>
  <si>
    <t xml:space="preserve">GDP growth factor</t>
  </si>
  <si>
    <t xml:space="preserve">Indicator Code</t>
  </si>
  <si>
    <t xml:space="preserve">NY.GDP.MKTP.KD.ZG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</si>
</sst>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"/>
    <numFmt numFmtId="166" formatCode="0.000"/>
    <numFmt numFmtId="167" formatCode="0.0000"/>
  </numFmts>
  <fonts count="9">
    <font>
      <sz val="12"/>
      <color theme="1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Noto Sans JP"/>
      <family val="2"/>
    </font>
    <font>
      <sz val="12"/>
      <color theme="1"/>
      <name val="Calibri"/>
      <family val="2"/>
      <charset val="128"/>
    </font>
    <font>
      <sz val="12"/>
      <color rgb="FF0070C0"/>
      <name val="Calibri"/>
      <family val="2"/>
      <charset val="128"/>
    </font>
    <font>
      <u val="single"/>
      <sz val="12"/>
      <color theme="10"/>
      <name val="Calibr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ta.worldbank.org/indicator/NY.GDP.MKTP.KD.Z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B1" colorId="64" zoomScale="170" zoomScaleNormal="170" zoomScalePageLayoutView="100" workbookViewId="0">
      <selection pane="topLeft" activeCell="E10" activeCellId="0" sqref="E10"/>
    </sheetView>
  </sheetViews>
  <sheetFormatPr defaultColWidth="9.73828125" defaultRowHeight="15.75" customHeight="false" zeroHeight="false" outlineLevelRow="0" outlineLevelCol="0"/>
  <cols>
    <col collapsed="false" customWidth="true" hidden="false" outlineLevel="0" max="1" min="1" style="1" width="16.51"/>
    <col collapsed="false" customWidth="true" hidden="false" outlineLevel="0" max="2" min="2" style="1" width="9.63"/>
    <col collapsed="false" customWidth="true" hidden="false" outlineLevel="0" max="3" min="3" style="1" width="8.56"/>
    <col collapsed="false" customWidth="true" hidden="false" outlineLevel="0" max="4" min="4" style="1" width="12.23"/>
    <col collapsed="false" customWidth="true" hidden="false" outlineLevel="0" max="5" min="5" style="1" width="22.78"/>
    <col collapsed="false" customWidth="true" hidden="false" outlineLevel="0" max="6" min="6" style="1" width="14.07"/>
    <col collapsed="false" customWidth="true" hidden="false" outlineLevel="0" max="7" min="7" style="1" width="14.68"/>
    <col collapsed="false" customWidth="true" hidden="false" outlineLevel="0" max="8" min="8" style="1" width="9.48"/>
    <col collapsed="false" customWidth="true" hidden="false" outlineLevel="0" max="10" min="9" style="1" width="11.93"/>
    <col collapsed="false" customWidth="true" hidden="false" outlineLevel="0" max="11" min="11" style="1" width="12.69"/>
    <col collapsed="false" customWidth="true" hidden="false" outlineLevel="0" max="12" min="12" style="1" width="14.53"/>
    <col collapsed="false" customWidth="true" hidden="false" outlineLevel="0" max="13" min="13" style="1" width="10.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customFormat="false" ht="15.75" hidden="false" customHeight="false" outlineLevel="0" collapsed="false">
      <c r="A2" s="4" t="s">
        <v>13</v>
      </c>
      <c r="B2" s="5" t="n">
        <v>20458</v>
      </c>
      <c r="C2" s="4" t="n">
        <v>2012</v>
      </c>
      <c r="D2" s="4" t="n">
        <v>2025</v>
      </c>
      <c r="E2" s="6" t="n">
        <f aca="false">PRODUCT(Sheet2!$F$59:$F$71)</f>
        <v>2.16706512923823</v>
      </c>
      <c r="F2" s="5" t="n">
        <f aca="false">ROUND(B2*E2,0)</f>
        <v>44334</v>
      </c>
      <c r="G2" s="4" t="n">
        <v>35721</v>
      </c>
      <c r="H2" s="4" t="n">
        <v>2025</v>
      </c>
      <c r="I2" s="7" t="n">
        <f aca="false">F2/G2</f>
        <v>1.2411186696901</v>
      </c>
      <c r="J2" s="8" t="n">
        <f aca="false">CORREL(F2:F5,G2:G5)</f>
        <v>0.948171886587908</v>
      </c>
      <c r="K2" s="9" t="n">
        <f aca="false">SUM($F$2:$F$5)/SUM($G$2:$G$5)</f>
        <v>1.0953284597075</v>
      </c>
      <c r="L2" s="9" t="n">
        <v>1</v>
      </c>
      <c r="M2" s="10" t="n">
        <f aca="false">ROUND(G2*K2*L2, 0)</f>
        <v>39126</v>
      </c>
    </row>
    <row r="3" customFormat="false" ht="15.75" hidden="false" customHeight="false" outlineLevel="0" collapsed="false">
      <c r="A3" s="4" t="s">
        <v>14</v>
      </c>
      <c r="B3" s="5" t="n">
        <v>20458</v>
      </c>
      <c r="C3" s="4" t="n">
        <v>2012</v>
      </c>
      <c r="D3" s="4" t="n">
        <v>2025</v>
      </c>
      <c r="E3" s="6" t="n">
        <f aca="false">PRODUCT(Sheet2!$F$59:$F$71)</f>
        <v>2.16706512923823</v>
      </c>
      <c r="F3" s="5" t="n">
        <f aca="false">ROUND(B3*E3,0)</f>
        <v>44334</v>
      </c>
      <c r="G3" s="4" t="n">
        <v>36179.5</v>
      </c>
      <c r="H3" s="4" t="n">
        <v>2025</v>
      </c>
      <c r="I3" s="7" t="n">
        <f aca="false">F3/G3</f>
        <v>1.2253900689617</v>
      </c>
      <c r="J3" s="8"/>
      <c r="K3" s="9" t="n">
        <f aca="false">SUM($F$2:$F$5)/SUM($G$2:$G$5)</f>
        <v>1.0953284597075</v>
      </c>
      <c r="L3" s="9" t="n">
        <v>1</v>
      </c>
      <c r="M3" s="10" t="n">
        <f aca="false">ROUND(G3*K3*L3, 0)</f>
        <v>39628</v>
      </c>
    </row>
    <row r="4" customFormat="false" ht="15.75" hidden="false" customHeight="false" outlineLevel="0" collapsed="false">
      <c r="A4" s="4" t="s">
        <v>15</v>
      </c>
      <c r="B4" s="5" t="n">
        <v>6046</v>
      </c>
      <c r="C4" s="4" t="n">
        <v>2012</v>
      </c>
      <c r="D4" s="4" t="n">
        <v>2025</v>
      </c>
      <c r="E4" s="6" t="n">
        <f aca="false">PRODUCT(Sheet2!$F$59:$F$71)</f>
        <v>2.16706512923823</v>
      </c>
      <c r="F4" s="5" t="n">
        <f aca="false">ROUND(B4*E4,0)</f>
        <v>13102</v>
      </c>
      <c r="G4" s="4" t="n">
        <v>21229.125</v>
      </c>
      <c r="H4" s="4" t="n">
        <v>2025</v>
      </c>
      <c r="I4" s="7" t="n">
        <f aca="false">F4/G4</f>
        <v>0.617170985615281</v>
      </c>
      <c r="J4" s="8"/>
      <c r="K4" s="9" t="n">
        <f aca="false">SUM($F$2:$F$5)/SUM($G$2:$G$5)</f>
        <v>1.0953284597075</v>
      </c>
      <c r="L4" s="9" t="n">
        <v>1</v>
      </c>
      <c r="M4" s="10" t="n">
        <f aca="false">ROUND(G4*K4*L4, 0)</f>
        <v>23253</v>
      </c>
    </row>
    <row r="5" customFormat="false" ht="15.75" hidden="false" customHeight="false" outlineLevel="0" collapsed="false">
      <c r="A5" s="4" t="s">
        <v>16</v>
      </c>
      <c r="B5" s="5" t="n">
        <v>8286</v>
      </c>
      <c r="C5" s="4" t="n">
        <v>2012</v>
      </c>
      <c r="D5" s="4" t="n">
        <v>2025</v>
      </c>
      <c r="E5" s="6" t="n">
        <f aca="false">PRODUCT(Sheet2!$F$59:$F$71)</f>
        <v>2.16706512923823</v>
      </c>
      <c r="F5" s="5" t="n">
        <f aca="false">ROUND(B5*E5,0)</f>
        <v>17956</v>
      </c>
      <c r="G5" s="4" t="n">
        <v>16176.4</v>
      </c>
      <c r="H5" s="4" t="n">
        <v>2025</v>
      </c>
      <c r="I5" s="7" t="n">
        <f aca="false">F5/G5</f>
        <v>1.11001211641651</v>
      </c>
      <c r="J5" s="8"/>
      <c r="K5" s="9" t="n">
        <f aca="false">SUM($F$2:$F$5)/SUM($G$2:$G$5)</f>
        <v>1.0953284597075</v>
      </c>
      <c r="L5" s="9" t="n">
        <v>1</v>
      </c>
      <c r="M5" s="10" t="n">
        <f aca="false">ROUND(G5*K5*L5, 0)</f>
        <v>17718</v>
      </c>
    </row>
    <row r="6" customFormat="false" ht="15.75" hidden="false" customHeight="false" outlineLevel="0" collapsed="false">
      <c r="A6" s="4" t="s">
        <v>17</v>
      </c>
      <c r="B6" s="5" t="n">
        <v>747</v>
      </c>
      <c r="C6" s="4" t="n">
        <v>2023</v>
      </c>
      <c r="D6" s="4" t="n">
        <v>2024</v>
      </c>
      <c r="E6" s="6" t="n">
        <f aca="false">PRODUCT(Sheet2!$G$70)</f>
        <v>1.02948599865933</v>
      </c>
      <c r="F6" s="5" t="n">
        <f aca="false">ROUND(B6*E6,0)</f>
        <v>769</v>
      </c>
      <c r="G6" s="4" t="n">
        <v>7920</v>
      </c>
      <c r="H6" s="4" t="n">
        <v>2024</v>
      </c>
      <c r="I6" s="7" t="n">
        <f aca="false">F6/G6</f>
        <v>0.0970959595959596</v>
      </c>
      <c r="J6" s="8" t="n">
        <f aca="false">CORREL(F6:F8,G6:G8)</f>
        <v>0.999925943085918</v>
      </c>
      <c r="K6" s="9" t="n">
        <f aca="false">SUM($F$6:$F$8)/SUM($G$6:$G$8)</f>
        <v>0.0450024536186013</v>
      </c>
      <c r="L6" s="11" t="n">
        <f aca="false">PRODUCT(Sheet2!$G$71)</f>
        <v>1.02442474449902</v>
      </c>
      <c r="M6" s="10" t="n">
        <f aca="false">ROUND(G6*K6*L6, 0)</f>
        <v>365</v>
      </c>
    </row>
    <row r="7" customFormat="false" ht="15.75" hidden="false" customHeight="false" outlineLevel="0" collapsed="false">
      <c r="A7" s="4" t="s">
        <v>18</v>
      </c>
      <c r="B7" s="5" t="n">
        <v>16228</v>
      </c>
      <c r="C7" s="4" t="n">
        <v>2023</v>
      </c>
      <c r="D7" s="4" t="n">
        <v>2024</v>
      </c>
      <c r="E7" s="6" t="n">
        <f aca="false">PRODUCT(Sheet2!$G$70)</f>
        <v>1.02948599865933</v>
      </c>
      <c r="F7" s="5" t="n">
        <f aca="false">ROUND(B7*E7,0)</f>
        <v>16706</v>
      </c>
      <c r="G7" s="4" t="n">
        <v>391875</v>
      </c>
      <c r="H7" s="4" t="n">
        <v>2024</v>
      </c>
      <c r="I7" s="7" t="n">
        <f aca="false">F7/G7</f>
        <v>0.0426309409888357</v>
      </c>
      <c r="J7" s="8"/>
      <c r="K7" s="9" t="n">
        <f aca="false">SUM($F$6:$F$8)/SUM($G$6:$G$8)</f>
        <v>0.0450024536186013</v>
      </c>
      <c r="L7" s="11" t="n">
        <f aca="false">PRODUCT(Sheet2!$G$71)</f>
        <v>1.02442474449902</v>
      </c>
      <c r="M7" s="10" t="n">
        <f aca="false">ROUND(G7*K7*L7, 0)</f>
        <v>18066</v>
      </c>
    </row>
    <row r="8" customFormat="false" ht="15.75" hidden="false" customHeight="false" outlineLevel="0" collapsed="false">
      <c r="A8" s="4" t="s">
        <v>19</v>
      </c>
      <c r="B8" s="5" t="n">
        <v>2133</v>
      </c>
      <c r="C8" s="4" t="n">
        <v>2023</v>
      </c>
      <c r="D8" s="4" t="n">
        <v>2024</v>
      </c>
      <c r="E8" s="6" t="n">
        <f aca="false">PRODUCT(Sheet2!$G$70)</f>
        <v>1.02948599865933</v>
      </c>
      <c r="F8" s="5" t="n">
        <f aca="false">ROUND(B8*E8,0)</f>
        <v>2196</v>
      </c>
      <c r="G8" s="4" t="n">
        <v>37314.5</v>
      </c>
      <c r="H8" s="4" t="n">
        <v>2024</v>
      </c>
      <c r="I8" s="7" t="n">
        <f aca="false">F8/G8</f>
        <v>0.0588511168580579</v>
      </c>
      <c r="J8" s="8"/>
      <c r="K8" s="9" t="n">
        <f aca="false">SUM($F$6:$F$8)/SUM($G$6:$G$8)</f>
        <v>0.0450024536186013</v>
      </c>
      <c r="L8" s="11" t="n">
        <f aca="false">PRODUCT(Sheet2!$G$71)</f>
        <v>1.02442474449902</v>
      </c>
      <c r="M8" s="10" t="n">
        <f aca="false">ROUND(G8*K8*L8, 0)</f>
        <v>1720</v>
      </c>
    </row>
  </sheetData>
  <mergeCells count="2">
    <mergeCell ref="J2:J5"/>
    <mergeCell ref="J6:J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F58" activeCellId="0" sqref="F58"/>
    </sheetView>
  </sheetViews>
  <sheetFormatPr defaultColWidth="9.73828125" defaultRowHeight="15.75" customHeight="false" zeroHeight="false" outlineLevelRow="0" outlineLevelCol="0"/>
  <cols>
    <col collapsed="false" customWidth="true" hidden="false" outlineLevel="0" max="2" min="2" style="1" width="13.61"/>
    <col collapsed="false" customWidth="true" hidden="false" outlineLevel="0" max="4" min="3" style="1" width="20.49"/>
    <col collapsed="false" customWidth="true" hidden="false" outlineLevel="0" max="5" min="5" style="1" width="3.52"/>
    <col collapsed="false" customWidth="true" hidden="false" outlineLevel="0" max="7" min="6" style="1" width="18.8"/>
  </cols>
  <sheetData>
    <row r="1" customFormat="false" ht="15.75" hidden="false" customHeight="false" outlineLevel="0" collapsed="false">
      <c r="A1" s="12" t="s">
        <v>20</v>
      </c>
      <c r="B1" s="12"/>
    </row>
    <row r="2" customFormat="false" ht="15.75" hidden="false" customHeight="false" outlineLevel="0" collapsed="false">
      <c r="B2" s="13" t="s">
        <v>21</v>
      </c>
      <c r="C2" s="13" t="s">
        <v>22</v>
      </c>
      <c r="D2" s="13" t="s">
        <v>23</v>
      </c>
      <c r="E2" s="14" t="s">
        <v>24</v>
      </c>
      <c r="F2" s="13" t="s">
        <v>22</v>
      </c>
      <c r="G2" s="13" t="s">
        <v>23</v>
      </c>
    </row>
    <row r="3" customFormat="false" ht="15.75" hidden="false" customHeight="false" outlineLevel="0" collapsed="false">
      <c r="B3" s="13" t="s">
        <v>25</v>
      </c>
      <c r="C3" s="13" t="s">
        <v>26</v>
      </c>
      <c r="D3" s="13" t="s">
        <v>27</v>
      </c>
      <c r="E3" s="14" t="s">
        <v>24</v>
      </c>
      <c r="F3" s="13" t="s">
        <v>26</v>
      </c>
      <c r="G3" s="13" t="s">
        <v>27</v>
      </c>
    </row>
    <row r="4" customFormat="false" ht="15.75" hidden="false" customHeight="false" outlineLevel="0" collapsed="false">
      <c r="B4" s="13" t="s">
        <v>28</v>
      </c>
      <c r="C4" s="13" t="s">
        <v>29</v>
      </c>
      <c r="D4" s="13" t="s">
        <v>29</v>
      </c>
      <c r="E4" s="14" t="s">
        <v>24</v>
      </c>
      <c r="F4" s="13" t="s">
        <v>30</v>
      </c>
      <c r="G4" s="13" t="s">
        <v>30</v>
      </c>
    </row>
    <row r="5" customFormat="false" ht="15.75" hidden="false" customHeight="false" outlineLevel="0" collapsed="false">
      <c r="B5" s="13" t="s">
        <v>31</v>
      </c>
      <c r="C5" s="13" t="s">
        <v>32</v>
      </c>
      <c r="D5" s="13" t="s">
        <v>32</v>
      </c>
      <c r="E5" s="14" t="s">
        <v>24</v>
      </c>
      <c r="F5" s="13" t="s">
        <v>32</v>
      </c>
      <c r="G5" s="13" t="s">
        <v>32</v>
      </c>
    </row>
    <row r="6" customFormat="false" ht="15.75" hidden="false" customHeight="false" outlineLevel="0" collapsed="false">
      <c r="B6" s="13" t="n">
        <v>1960</v>
      </c>
      <c r="C6" s="15"/>
      <c r="D6" s="15"/>
      <c r="E6" s="14" t="s">
        <v>24</v>
      </c>
      <c r="F6" s="15"/>
      <c r="G6" s="15"/>
    </row>
    <row r="7" customFormat="false" ht="15.75" hidden="false" customHeight="false" outlineLevel="0" collapsed="false">
      <c r="B7" s="13" t="n">
        <v>1961</v>
      </c>
      <c r="C7" s="15" t="n">
        <v>3.72274253269822</v>
      </c>
      <c r="D7" s="15" t="n">
        <v>5.36214630168787</v>
      </c>
      <c r="E7" s="14" t="s">
        <v>24</v>
      </c>
      <c r="F7" s="16" t="n">
        <f aca="false">C7/100+1</f>
        <v>1.03722742532698</v>
      </c>
      <c r="G7" s="16" t="n">
        <f aca="false">D7/100+1</f>
        <v>1.05362146301688</v>
      </c>
    </row>
    <row r="8" customFormat="false" ht="15.75" hidden="false" customHeight="false" outlineLevel="0" collapsed="false">
      <c r="B8" s="13" t="n">
        <v>1962</v>
      </c>
      <c r="C8" s="15" t="n">
        <v>2.93112773665958</v>
      </c>
      <c r="D8" s="15" t="n">
        <v>7.55425444784086</v>
      </c>
      <c r="E8" s="14" t="s">
        <v>24</v>
      </c>
      <c r="F8" s="16" t="n">
        <f aca="false">C8/100+1</f>
        <v>1.0293112773666</v>
      </c>
      <c r="G8" s="16" t="n">
        <f aca="false">D8/100+1</f>
        <v>1.07554254447841</v>
      </c>
    </row>
    <row r="9" customFormat="false" ht="15.75" hidden="false" customHeight="false" outlineLevel="0" collapsed="false">
      <c r="B9" s="13" t="n">
        <v>1963</v>
      </c>
      <c r="C9" s="15" t="n">
        <v>5.99435326095178</v>
      </c>
      <c r="D9" s="15" t="n">
        <v>7.99983078698784</v>
      </c>
      <c r="E9" s="14" t="s">
        <v>24</v>
      </c>
      <c r="F9" s="16" t="n">
        <f aca="false">C9/100+1</f>
        <v>1.05994353260952</v>
      </c>
      <c r="G9" s="16" t="n">
        <f aca="false">D9/100+1</f>
        <v>1.07999830786988</v>
      </c>
    </row>
    <row r="10" customFormat="false" ht="15.75" hidden="false" customHeight="false" outlineLevel="0" collapsed="false">
      <c r="B10" s="13" t="n">
        <v>1964</v>
      </c>
      <c r="C10" s="15" t="n">
        <v>7.45295012232975</v>
      </c>
      <c r="D10" s="15" t="n">
        <v>6.83099614370542</v>
      </c>
      <c r="E10" s="14" t="s">
        <v>24</v>
      </c>
      <c r="F10" s="16" t="n">
        <f aca="false">C10/100+1</f>
        <v>1.0745295012233</v>
      </c>
      <c r="G10" s="16" t="n">
        <f aca="false">D10/100+1</f>
        <v>1.06830996143705</v>
      </c>
    </row>
    <row r="11" customFormat="false" ht="15.75" hidden="false" customHeight="false" outlineLevel="0" collapsed="false">
      <c r="B11" s="13" t="n">
        <v>1965</v>
      </c>
      <c r="C11" s="15" t="n">
        <v>-2.63577010985361</v>
      </c>
      <c r="D11" s="15" t="n">
        <v>8.18166153767717</v>
      </c>
      <c r="E11" s="14" t="s">
        <v>24</v>
      </c>
      <c r="F11" s="16" t="n">
        <f aca="false">C11/100+1</f>
        <v>0.973642298901464</v>
      </c>
      <c r="G11" s="16" t="n">
        <f aca="false">D11/100+1</f>
        <v>1.08181661537677</v>
      </c>
    </row>
    <row r="12" customFormat="false" ht="15.75" hidden="false" customHeight="false" outlineLevel="0" collapsed="false">
      <c r="B12" s="13" t="n">
        <v>1966</v>
      </c>
      <c r="C12" s="15" t="n">
        <v>-0.0553287698318314</v>
      </c>
      <c r="D12" s="15" t="n">
        <v>11.1225184946389</v>
      </c>
      <c r="E12" s="14" t="s">
        <v>24</v>
      </c>
      <c r="F12" s="16" t="n">
        <f aca="false">C12/100+1</f>
        <v>0.999446712301682</v>
      </c>
      <c r="G12" s="16" t="n">
        <f aca="false">D12/100+1</f>
        <v>1.11122518494639</v>
      </c>
    </row>
    <row r="13" customFormat="false" ht="15.75" hidden="false" customHeight="false" outlineLevel="0" collapsed="false">
      <c r="B13" s="13" t="n">
        <v>1967</v>
      </c>
      <c r="C13" s="15" t="n">
        <v>7.82596303033105</v>
      </c>
      <c r="D13" s="15" t="n">
        <v>8.61598233328198</v>
      </c>
      <c r="E13" s="14" t="s">
        <v>24</v>
      </c>
      <c r="F13" s="16" t="n">
        <f aca="false">C13/100+1</f>
        <v>1.07825963030331</v>
      </c>
      <c r="G13" s="16" t="n">
        <f aca="false">D13/100+1</f>
        <v>1.08615982333282</v>
      </c>
    </row>
    <row r="14" customFormat="false" ht="15.75" hidden="false" customHeight="false" outlineLevel="0" collapsed="false">
      <c r="B14" s="13" t="n">
        <v>1968</v>
      </c>
      <c r="C14" s="15" t="n">
        <v>3.38792917600242</v>
      </c>
      <c r="D14" s="15" t="n">
        <v>8.12227025554289</v>
      </c>
      <c r="E14" s="14" t="s">
        <v>24</v>
      </c>
      <c r="F14" s="16" t="n">
        <f aca="false">C14/100+1</f>
        <v>1.03387929176002</v>
      </c>
      <c r="G14" s="16" t="n">
        <f aca="false">D14/100+1</f>
        <v>1.08122270255543</v>
      </c>
    </row>
    <row r="15" customFormat="false" ht="15.75" hidden="false" customHeight="false" outlineLevel="0" collapsed="false">
      <c r="B15" s="13" t="n">
        <v>1969</v>
      </c>
      <c r="C15" s="15" t="n">
        <v>6.53970029628042</v>
      </c>
      <c r="D15" s="15" t="n">
        <v>6.55065988587748</v>
      </c>
      <c r="E15" s="14" t="s">
        <v>24</v>
      </c>
      <c r="F15" s="16" t="n">
        <f aca="false">C15/100+1</f>
        <v>1.0653970029628</v>
      </c>
      <c r="G15" s="16" t="n">
        <f aca="false">D15/100+1</f>
        <v>1.06550659885877</v>
      </c>
    </row>
    <row r="16" customFormat="false" ht="15.75" hidden="false" customHeight="false" outlineLevel="0" collapsed="false">
      <c r="B16" s="13" t="n">
        <v>1970</v>
      </c>
      <c r="C16" s="15" t="n">
        <v>5.15722973608261</v>
      </c>
      <c r="D16" s="15" t="n">
        <v>11.4079490662098</v>
      </c>
      <c r="E16" s="14" t="s">
        <v>24</v>
      </c>
      <c r="F16" s="16" t="n">
        <f aca="false">C16/100+1</f>
        <v>1.05157229736083</v>
      </c>
      <c r="G16" s="16" t="n">
        <f aca="false">D16/100+1</f>
        <v>1.1140794906621</v>
      </c>
    </row>
    <row r="17" customFormat="false" ht="15.75" hidden="false" customHeight="false" outlineLevel="0" collapsed="false">
      <c r="B17" s="13" t="n">
        <v>1971</v>
      </c>
      <c r="C17" s="15" t="n">
        <v>1.64293038388766</v>
      </c>
      <c r="D17" s="15" t="n">
        <v>4.89537376024299</v>
      </c>
      <c r="E17" s="14" t="s">
        <v>24</v>
      </c>
      <c r="F17" s="16" t="n">
        <f aca="false">C17/100+1</f>
        <v>1.01642930383888</v>
      </c>
      <c r="G17" s="16" t="n">
        <f aca="false">D17/100+1</f>
        <v>1.04895373760243</v>
      </c>
    </row>
    <row r="18" customFormat="false" ht="15.75" hidden="false" customHeight="false" outlineLevel="0" collapsed="false">
      <c r="B18" s="13" t="n">
        <v>1972</v>
      </c>
      <c r="C18" s="15" t="n">
        <v>-0.553301312377712</v>
      </c>
      <c r="D18" s="15" t="n">
        <v>4.27850803861051</v>
      </c>
      <c r="E18" s="14" t="s">
        <v>24</v>
      </c>
      <c r="F18" s="16" t="n">
        <f aca="false">C18/100+1</f>
        <v>0.994466986876223</v>
      </c>
      <c r="G18" s="16" t="n">
        <f aca="false">D18/100+1</f>
        <v>1.04278508038611</v>
      </c>
    </row>
    <row r="19" customFormat="false" ht="15.75" hidden="false" customHeight="false" outlineLevel="0" collapsed="false">
      <c r="B19" s="13" t="n">
        <v>1973</v>
      </c>
      <c r="C19" s="15" t="n">
        <v>3.29552113522354</v>
      </c>
      <c r="D19" s="15" t="n">
        <v>10.2364330148798</v>
      </c>
      <c r="E19" s="14" t="s">
        <v>24</v>
      </c>
      <c r="F19" s="16" t="n">
        <f aca="false">C19/100+1</f>
        <v>1.03295521135224</v>
      </c>
      <c r="G19" s="16" t="n">
        <f aca="false">D19/100+1</f>
        <v>1.1023643301488</v>
      </c>
    </row>
    <row r="20" customFormat="false" ht="15.75" hidden="false" customHeight="false" outlineLevel="0" collapsed="false">
      <c r="B20" s="13" t="n">
        <v>1974</v>
      </c>
      <c r="C20" s="15" t="n">
        <v>1.18533626034039</v>
      </c>
      <c r="D20" s="15" t="n">
        <v>4.46625338575453</v>
      </c>
      <c r="E20" s="14" t="s">
        <v>24</v>
      </c>
      <c r="F20" s="16" t="n">
        <f aca="false">C20/100+1</f>
        <v>1.0118533626034</v>
      </c>
      <c r="G20" s="16" t="n">
        <f aca="false">D20/100+1</f>
        <v>1.04466253385755</v>
      </c>
    </row>
    <row r="21" customFormat="false" ht="15.75" hidden="false" customHeight="false" outlineLevel="0" collapsed="false">
      <c r="B21" s="13" t="n">
        <v>1975</v>
      </c>
      <c r="C21" s="15" t="n">
        <v>9.14991201480592</v>
      </c>
      <c r="D21" s="15" t="n">
        <v>4.97040522766497</v>
      </c>
      <c r="E21" s="14" t="s">
        <v>24</v>
      </c>
      <c r="F21" s="16" t="n">
        <f aca="false">C21/100+1</f>
        <v>1.09149912014806</v>
      </c>
      <c r="G21" s="16" t="n">
        <f aca="false">D21/100+1</f>
        <v>1.04970405227665</v>
      </c>
    </row>
    <row r="22" customFormat="false" ht="15.75" hidden="false" customHeight="false" outlineLevel="0" collapsed="false">
      <c r="B22" s="13" t="n">
        <v>1976</v>
      </c>
      <c r="C22" s="15" t="n">
        <v>1.66310363661279</v>
      </c>
      <c r="D22" s="15" t="n">
        <v>9.32681108178437</v>
      </c>
      <c r="E22" s="14" t="s">
        <v>24</v>
      </c>
      <c r="F22" s="16" t="n">
        <f aca="false">C22/100+1</f>
        <v>1.01663103636613</v>
      </c>
      <c r="G22" s="16" t="n">
        <f aca="false">D22/100+1</f>
        <v>1.09326811081784</v>
      </c>
    </row>
    <row r="23" customFormat="false" ht="15.75" hidden="false" customHeight="false" outlineLevel="0" collapsed="false">
      <c r="B23" s="13" t="n">
        <v>1977</v>
      </c>
      <c r="C23" s="15" t="n">
        <v>7.25476458583569</v>
      </c>
      <c r="D23" s="15" t="n">
        <v>9.84346323531113</v>
      </c>
      <c r="E23" s="14" t="s">
        <v>24</v>
      </c>
      <c r="F23" s="16" t="n">
        <f aca="false">C23/100+1</f>
        <v>1.07254764585836</v>
      </c>
      <c r="G23" s="16" t="n">
        <f aca="false">D23/100+1</f>
        <v>1.09843463235311</v>
      </c>
    </row>
    <row r="24" customFormat="false" ht="15.75" hidden="false" customHeight="false" outlineLevel="0" collapsed="false">
      <c r="B24" s="13" t="n">
        <v>1978</v>
      </c>
      <c r="C24" s="15" t="n">
        <v>5.71253208900188</v>
      </c>
      <c r="D24" s="15" t="n">
        <v>10.2957465349385</v>
      </c>
      <c r="E24" s="14" t="s">
        <v>24</v>
      </c>
      <c r="F24" s="16" t="n">
        <f aca="false">C24/100+1</f>
        <v>1.05712532089002</v>
      </c>
      <c r="G24" s="16" t="n">
        <f aca="false">D24/100+1</f>
        <v>1.10295746534939</v>
      </c>
    </row>
    <row r="25" customFormat="false" ht="15.75" hidden="false" customHeight="false" outlineLevel="0" collapsed="false">
      <c r="B25" s="13" t="n">
        <v>1979</v>
      </c>
      <c r="C25" s="15" t="n">
        <v>-5.2381827027895</v>
      </c>
      <c r="D25" s="15" t="n">
        <v>5.37176651254237</v>
      </c>
      <c r="E25" s="14" t="s">
        <v>24</v>
      </c>
      <c r="F25" s="16" t="n">
        <f aca="false">C25/100+1</f>
        <v>0.947618172972105</v>
      </c>
      <c r="G25" s="16" t="n">
        <f aca="false">D25/100+1</f>
        <v>1.05371766512542</v>
      </c>
    </row>
    <row r="26" customFormat="false" ht="15.75" hidden="false" customHeight="false" outlineLevel="0" collapsed="false">
      <c r="B26" s="13" t="n">
        <v>1980</v>
      </c>
      <c r="C26" s="15" t="n">
        <v>6.7358215279985</v>
      </c>
      <c r="D26" s="15" t="n">
        <v>5.17354100571934</v>
      </c>
      <c r="E26" s="14" t="s">
        <v>24</v>
      </c>
      <c r="F26" s="16" t="n">
        <f aca="false">C26/100+1</f>
        <v>1.06735821527999</v>
      </c>
      <c r="G26" s="16" t="n">
        <f aca="false">D26/100+1</f>
        <v>1.05173541005719</v>
      </c>
    </row>
    <row r="27" customFormat="false" ht="15.75" hidden="false" customHeight="false" outlineLevel="0" collapsed="false">
      <c r="B27" s="13" t="n">
        <v>1981</v>
      </c>
      <c r="C27" s="15" t="n">
        <v>6.00620362381767</v>
      </c>
      <c r="D27" s="15" t="n">
        <v>5.90686776303639</v>
      </c>
      <c r="E27" s="14" t="s">
        <v>24</v>
      </c>
      <c r="F27" s="16" t="n">
        <f aca="false">C27/100+1</f>
        <v>1.06006203623818</v>
      </c>
      <c r="G27" s="16" t="n">
        <f aca="false">D27/100+1</f>
        <v>1.05906867763036</v>
      </c>
    </row>
    <row r="28" customFormat="false" ht="15.75" hidden="false" customHeight="false" outlineLevel="0" collapsed="false">
      <c r="B28" s="13" t="n">
        <v>1982</v>
      </c>
      <c r="C28" s="15" t="n">
        <v>3.47573324031237</v>
      </c>
      <c r="D28" s="15" t="n">
        <v>5.35234875066743</v>
      </c>
      <c r="E28" s="14" t="s">
        <v>24</v>
      </c>
      <c r="F28" s="16" t="n">
        <f aca="false">C28/100+1</f>
        <v>1.03475733240312</v>
      </c>
      <c r="G28" s="16" t="n">
        <f aca="false">D28/100+1</f>
        <v>1.05352348750667</v>
      </c>
    </row>
    <row r="29" customFormat="false" ht="15.75" hidden="false" customHeight="false" outlineLevel="0" collapsed="false">
      <c r="B29" s="13" t="n">
        <v>1983</v>
      </c>
      <c r="C29" s="15" t="n">
        <v>7.28889290124586</v>
      </c>
      <c r="D29" s="15" t="n">
        <v>5.58420246919084</v>
      </c>
      <c r="E29" s="14" t="s">
        <v>24</v>
      </c>
      <c r="F29" s="16" t="n">
        <f aca="false">C29/100+1</f>
        <v>1.07288892901246</v>
      </c>
      <c r="G29" s="16" t="n">
        <f aca="false">D29/100+1</f>
        <v>1.05584202469191</v>
      </c>
    </row>
    <row r="30" customFormat="false" ht="15.75" hidden="false" customHeight="false" outlineLevel="0" collapsed="false">
      <c r="B30" s="13" t="n">
        <v>1984</v>
      </c>
      <c r="C30" s="15" t="n">
        <v>3.8207378559735</v>
      </c>
      <c r="D30" s="15" t="n">
        <v>5.75243025148993</v>
      </c>
      <c r="E30" s="14" t="s">
        <v>24</v>
      </c>
      <c r="F30" s="16" t="n">
        <f aca="false">C30/100+1</f>
        <v>1.03820737855974</v>
      </c>
      <c r="G30" s="16" t="n">
        <f aca="false">D30/100+1</f>
        <v>1.0575243025149</v>
      </c>
    </row>
    <row r="31" customFormat="false" ht="15.75" hidden="false" customHeight="false" outlineLevel="0" collapsed="false">
      <c r="B31" s="13" t="n">
        <v>1985</v>
      </c>
      <c r="C31" s="15" t="n">
        <v>5.25429922330889</v>
      </c>
      <c r="D31" s="15" t="n">
        <v>4.64724035659331</v>
      </c>
      <c r="E31" s="14" t="s">
        <v>24</v>
      </c>
      <c r="F31" s="16" t="n">
        <f aca="false">C31/100+1</f>
        <v>1.05254299223309</v>
      </c>
      <c r="G31" s="16" t="n">
        <f aca="false">D31/100+1</f>
        <v>1.04647240356593</v>
      </c>
    </row>
    <row r="32" customFormat="false" ht="15.75" hidden="false" customHeight="false" outlineLevel="0" collapsed="false">
      <c r="B32" s="13" t="n">
        <v>1986</v>
      </c>
      <c r="C32" s="15" t="n">
        <v>4.77656417048946</v>
      </c>
      <c r="D32" s="15" t="n">
        <v>5.53382776724771</v>
      </c>
      <c r="E32" s="14" t="s">
        <v>24</v>
      </c>
      <c r="F32" s="16" t="n">
        <f aca="false">C32/100+1</f>
        <v>1.04776564170489</v>
      </c>
      <c r="G32" s="16" t="n">
        <f aca="false">D32/100+1</f>
        <v>1.05533827767248</v>
      </c>
    </row>
    <row r="33" customFormat="false" ht="15.75" hidden="false" customHeight="false" outlineLevel="0" collapsed="false">
      <c r="B33" s="13" t="n">
        <v>1987</v>
      </c>
      <c r="C33" s="15" t="n">
        <v>3.96535563390576</v>
      </c>
      <c r="D33" s="15" t="n">
        <v>9.5189460221079</v>
      </c>
      <c r="E33" s="14" t="s">
        <v>24</v>
      </c>
      <c r="F33" s="16" t="n">
        <f aca="false">C33/100+1</f>
        <v>1.03965355633906</v>
      </c>
      <c r="G33" s="16" t="n">
        <f aca="false">D33/100+1</f>
        <v>1.09518946022108</v>
      </c>
    </row>
    <row r="34" customFormat="false" ht="15.75" hidden="false" customHeight="false" outlineLevel="0" collapsed="false">
      <c r="B34" s="13" t="n">
        <v>1988</v>
      </c>
      <c r="C34" s="15" t="n">
        <v>9.62778291984834</v>
      </c>
      <c r="D34" s="15" t="n">
        <v>13.2881140717644</v>
      </c>
      <c r="E34" s="14" t="s">
        <v>24</v>
      </c>
      <c r="F34" s="16" t="n">
        <f aca="false">C34/100+1</f>
        <v>1.09627782919848</v>
      </c>
      <c r="G34" s="16" t="n">
        <f aca="false">D34/100+1</f>
        <v>1.13288114071764</v>
      </c>
    </row>
    <row r="35" customFormat="false" ht="15.75" hidden="false" customHeight="false" outlineLevel="0" collapsed="false">
      <c r="B35" s="13" t="n">
        <v>1989</v>
      </c>
      <c r="C35" s="15" t="n">
        <v>5.94734332826503</v>
      </c>
      <c r="D35" s="15" t="n">
        <v>12.1905059866109</v>
      </c>
      <c r="E35" s="14" t="s">
        <v>24</v>
      </c>
      <c r="F35" s="16" t="n">
        <f aca="false">C35/100+1</f>
        <v>1.05947343328265</v>
      </c>
      <c r="G35" s="16" t="n">
        <f aca="false">D35/100+1</f>
        <v>1.12190505986611</v>
      </c>
    </row>
    <row r="36" customFormat="false" ht="15.75" hidden="false" customHeight="false" outlineLevel="0" collapsed="false">
      <c r="B36" s="13" t="n">
        <v>1990</v>
      </c>
      <c r="C36" s="15" t="n">
        <v>5.53345456306495</v>
      </c>
      <c r="D36" s="15" t="n">
        <v>11.1671634446293</v>
      </c>
      <c r="E36" s="14" t="s">
        <v>24</v>
      </c>
      <c r="F36" s="16" t="n">
        <f aca="false">C36/100+1</f>
        <v>1.05533454563065</v>
      </c>
      <c r="G36" s="16" t="n">
        <f aca="false">D36/100+1</f>
        <v>1.11167163444629</v>
      </c>
    </row>
    <row r="37" customFormat="false" ht="15.75" hidden="false" customHeight="false" outlineLevel="0" collapsed="false">
      <c r="B37" s="13" t="n">
        <v>1991</v>
      </c>
      <c r="C37" s="15" t="n">
        <v>1.05683143296179</v>
      </c>
      <c r="D37" s="15" t="n">
        <v>8.5582603212423</v>
      </c>
      <c r="E37" s="14" t="s">
        <v>24</v>
      </c>
      <c r="F37" s="16" t="n">
        <f aca="false">C37/100+1</f>
        <v>1.01056831432962</v>
      </c>
      <c r="G37" s="16" t="n">
        <f aca="false">D37/100+1</f>
        <v>1.08558260321242</v>
      </c>
    </row>
    <row r="38" customFormat="false" ht="15.75" hidden="false" customHeight="false" outlineLevel="0" collapsed="false">
      <c r="B38" s="13" t="n">
        <v>1992</v>
      </c>
      <c r="C38" s="15" t="n">
        <v>5.48239602167003</v>
      </c>
      <c r="D38" s="15" t="n">
        <v>8.08338802345332</v>
      </c>
      <c r="E38" s="14" t="s">
        <v>24</v>
      </c>
      <c r="F38" s="16" t="n">
        <f aca="false">C38/100+1</f>
        <v>1.0548239602167</v>
      </c>
      <c r="G38" s="16" t="n">
        <f aca="false">D38/100+1</f>
        <v>1.08083388023453</v>
      </c>
    </row>
    <row r="39" customFormat="false" ht="15.75" hidden="false" customHeight="false" outlineLevel="0" collapsed="false">
      <c r="B39" s="13" t="n">
        <v>1993</v>
      </c>
      <c r="C39" s="15" t="n">
        <v>4.7507762195799</v>
      </c>
      <c r="D39" s="15" t="n">
        <v>8.25191591524627</v>
      </c>
      <c r="E39" s="14" t="s">
        <v>24</v>
      </c>
      <c r="F39" s="16" t="n">
        <f aca="false">C39/100+1</f>
        <v>1.0475077621958</v>
      </c>
      <c r="G39" s="16" t="n">
        <f aca="false">D39/100+1</f>
        <v>1.08251915915246</v>
      </c>
    </row>
    <row r="40" customFormat="false" ht="15.75" hidden="false" customHeight="false" outlineLevel="0" collapsed="false">
      <c r="B40" s="13" t="n">
        <v>1994</v>
      </c>
      <c r="C40" s="15" t="n">
        <v>6.65892406747307</v>
      </c>
      <c r="D40" s="15" t="n">
        <v>7.99702466720433</v>
      </c>
      <c r="E40" s="14" t="s">
        <v>24</v>
      </c>
      <c r="F40" s="16" t="n">
        <f aca="false">C40/100+1</f>
        <v>1.06658924067473</v>
      </c>
      <c r="G40" s="16" t="n">
        <f aca="false">D40/100+1</f>
        <v>1.07997024667204</v>
      </c>
    </row>
    <row r="41" customFormat="false" ht="15.75" hidden="false" customHeight="false" outlineLevel="0" collapsed="false">
      <c r="B41" s="13" t="n">
        <v>1995</v>
      </c>
      <c r="C41" s="15" t="n">
        <v>7.57449184027195</v>
      </c>
      <c r="D41" s="15" t="n">
        <v>8.12031534625378</v>
      </c>
      <c r="E41" s="14" t="s">
        <v>24</v>
      </c>
      <c r="F41" s="16" t="n">
        <f aca="false">C41/100+1</f>
        <v>1.07574491840272</v>
      </c>
      <c r="G41" s="16" t="n">
        <f aca="false">D41/100+1</f>
        <v>1.08120315346254</v>
      </c>
    </row>
    <row r="42" customFormat="false" ht="15.75" hidden="false" customHeight="false" outlineLevel="0" collapsed="false">
      <c r="B42" s="13" t="n">
        <v>1996</v>
      </c>
      <c r="C42" s="15" t="n">
        <v>7.54952224888829</v>
      </c>
      <c r="D42" s="15" t="n">
        <v>5.65194446499471</v>
      </c>
      <c r="E42" s="14" t="s">
        <v>24</v>
      </c>
      <c r="F42" s="16" t="n">
        <f aca="false">C42/100+1</f>
        <v>1.07549522248888</v>
      </c>
      <c r="G42" s="16" t="n">
        <f aca="false">D42/100+1</f>
        <v>1.05651944464995</v>
      </c>
    </row>
    <row r="43" customFormat="false" ht="15.75" hidden="false" customHeight="false" outlineLevel="0" collapsed="false">
      <c r="B43" s="13" t="n">
        <v>1997</v>
      </c>
      <c r="C43" s="15" t="n">
        <v>4.04982084902483</v>
      </c>
      <c r="D43" s="15" t="n">
        <v>-2.75357515314082</v>
      </c>
      <c r="E43" s="14" t="s">
        <v>24</v>
      </c>
      <c r="F43" s="16" t="n">
        <f aca="false">C43/100+1</f>
        <v>1.04049820849025</v>
      </c>
      <c r="G43" s="16" t="n">
        <f aca="false">D43/100+1</f>
        <v>0.972464248468592</v>
      </c>
    </row>
    <row r="44" customFormat="false" ht="15.75" hidden="false" customHeight="false" outlineLevel="0" collapsed="false">
      <c r="B44" s="13" t="n">
        <v>1998</v>
      </c>
      <c r="C44" s="15" t="n">
        <v>6.18441582080355</v>
      </c>
      <c r="D44" s="15" t="n">
        <v>-7.63403528600102</v>
      </c>
      <c r="E44" s="14" t="s">
        <v>24</v>
      </c>
      <c r="F44" s="16" t="n">
        <f aca="false">C44/100+1</f>
        <v>1.06184415820804</v>
      </c>
      <c r="G44" s="16" t="n">
        <f aca="false">D44/100+1</f>
        <v>0.92365964713999</v>
      </c>
    </row>
    <row r="45" customFormat="false" ht="15.75" hidden="false" customHeight="false" outlineLevel="0" collapsed="false">
      <c r="B45" s="13" t="n">
        <v>1999</v>
      </c>
      <c r="C45" s="15" t="n">
        <v>8.84575556114116</v>
      </c>
      <c r="D45" s="15" t="n">
        <v>4.57230775115542</v>
      </c>
      <c r="E45" s="14" t="s">
        <v>24</v>
      </c>
      <c r="F45" s="16" t="n">
        <f aca="false">C45/100+1</f>
        <v>1.08845755561141</v>
      </c>
      <c r="G45" s="16" t="n">
        <f aca="false">D45/100+1</f>
        <v>1.04572307751155</v>
      </c>
    </row>
    <row r="46" customFormat="false" ht="15.75" hidden="false" customHeight="false" outlineLevel="0" collapsed="false">
      <c r="B46" s="13" t="n">
        <v>2000</v>
      </c>
      <c r="C46" s="15" t="n">
        <v>3.84099115686554</v>
      </c>
      <c r="D46" s="15" t="n">
        <v>4.45524704335014</v>
      </c>
      <c r="E46" s="14" t="s">
        <v>24</v>
      </c>
      <c r="F46" s="16" t="n">
        <f aca="false">C46/100+1</f>
        <v>1.03840991156866</v>
      </c>
      <c r="G46" s="16" t="n">
        <f aca="false">D46/100+1</f>
        <v>1.0445524704335</v>
      </c>
    </row>
    <row r="47" customFormat="false" ht="15.75" hidden="false" customHeight="false" outlineLevel="0" collapsed="false">
      <c r="B47" s="13" t="n">
        <v>2001</v>
      </c>
      <c r="C47" s="15" t="n">
        <v>4.82396626397303</v>
      </c>
      <c r="D47" s="15" t="n">
        <v>3.44424900968372</v>
      </c>
      <c r="E47" s="14" t="s">
        <v>24</v>
      </c>
      <c r="F47" s="16" t="n">
        <f aca="false">C47/100+1</f>
        <v>1.04823966263973</v>
      </c>
      <c r="G47" s="16" t="n">
        <f aca="false">D47/100+1</f>
        <v>1.03444249009684</v>
      </c>
    </row>
    <row r="48" customFormat="false" ht="15.75" hidden="false" customHeight="false" outlineLevel="0" collapsed="false">
      <c r="B48" s="13" t="n">
        <v>2002</v>
      </c>
      <c r="C48" s="15" t="n">
        <v>3.80397532120038</v>
      </c>
      <c r="D48" s="15" t="n">
        <v>6.14903605210036</v>
      </c>
      <c r="E48" s="14" t="s">
        <v>24</v>
      </c>
      <c r="F48" s="16" t="n">
        <f aca="false">C48/100+1</f>
        <v>1.038039753212</v>
      </c>
      <c r="G48" s="16" t="n">
        <f aca="false">D48/100+1</f>
        <v>1.061490360521</v>
      </c>
    </row>
    <row r="49" customFormat="false" ht="15.75" hidden="false" customHeight="false" outlineLevel="0" collapsed="false">
      <c r="B49" s="13" t="n">
        <v>2003</v>
      </c>
      <c r="C49" s="15" t="n">
        <v>7.86038147545045</v>
      </c>
      <c r="D49" s="15" t="n">
        <v>7.18924330340971</v>
      </c>
      <c r="E49" s="14" t="s">
        <v>24</v>
      </c>
      <c r="F49" s="16" t="n">
        <f aca="false">C49/100+1</f>
        <v>1.0786038147545</v>
      </c>
      <c r="G49" s="16" t="n">
        <f aca="false">D49/100+1</f>
        <v>1.0718924330341</v>
      </c>
    </row>
    <row r="50" customFormat="false" ht="15.75" hidden="false" customHeight="false" outlineLevel="0" collapsed="false">
      <c r="B50" s="13" t="n">
        <v>2004</v>
      </c>
      <c r="C50" s="15" t="n">
        <v>7.92293661307978</v>
      </c>
      <c r="D50" s="15" t="n">
        <v>6.28934214285795</v>
      </c>
      <c r="E50" s="14" t="s">
        <v>24</v>
      </c>
      <c r="F50" s="16" t="n">
        <f aca="false">C50/100+1</f>
        <v>1.0792293661308</v>
      </c>
      <c r="G50" s="16" t="n">
        <f aca="false">D50/100+1</f>
        <v>1.06289342142858</v>
      </c>
    </row>
    <row r="51" customFormat="false" ht="15.75" hidden="false" customHeight="false" outlineLevel="0" collapsed="false">
      <c r="B51" s="13" t="n">
        <v>2005</v>
      </c>
      <c r="C51" s="15" t="n">
        <v>7.92343062131789</v>
      </c>
      <c r="D51" s="15" t="n">
        <v>4.18763842884337</v>
      </c>
      <c r="E51" s="14" t="s">
        <v>24</v>
      </c>
      <c r="F51" s="16" t="n">
        <f aca="false">C51/100+1</f>
        <v>1.07923430621318</v>
      </c>
      <c r="G51" s="16" t="n">
        <f aca="false">D51/100+1</f>
        <v>1.04187638428843</v>
      </c>
    </row>
    <row r="52" customFormat="false" ht="15.75" hidden="false" customHeight="false" outlineLevel="0" collapsed="false">
      <c r="B52" s="13" t="n">
        <v>2006</v>
      </c>
      <c r="C52" s="15" t="n">
        <v>8.06073257305057</v>
      </c>
      <c r="D52" s="15" t="n">
        <v>4.96781089246107</v>
      </c>
      <c r="E52" s="14" t="s">
        <v>24</v>
      </c>
      <c r="F52" s="16" t="n">
        <f aca="false">C52/100+1</f>
        <v>1.08060732573051</v>
      </c>
      <c r="G52" s="16" t="n">
        <f aca="false">D52/100+1</f>
        <v>1.04967810892461</v>
      </c>
    </row>
    <row r="53" customFormat="false" ht="15.75" hidden="false" customHeight="false" outlineLevel="0" collapsed="false">
      <c r="B53" s="13" t="n">
        <v>2007</v>
      </c>
      <c r="C53" s="15" t="n">
        <v>7.66081506510766</v>
      </c>
      <c r="D53" s="15" t="n">
        <v>5.43515169050809</v>
      </c>
      <c r="E53" s="14" t="s">
        <v>24</v>
      </c>
      <c r="F53" s="16" t="n">
        <f aca="false">C53/100+1</f>
        <v>1.07660815065108</v>
      </c>
      <c r="G53" s="16" t="n">
        <f aca="false">D53/100+1</f>
        <v>1.05435151690508</v>
      </c>
    </row>
    <row r="54" customFormat="false" ht="15.75" hidden="false" customHeight="false" outlineLevel="0" collapsed="false">
      <c r="B54" s="13" t="n">
        <v>2008</v>
      </c>
      <c r="C54" s="15" t="n">
        <v>3.08669805950082</v>
      </c>
      <c r="D54" s="15" t="n">
        <v>1.72569884866334</v>
      </c>
      <c r="E54" s="14" t="s">
        <v>24</v>
      </c>
      <c r="F54" s="16" t="n">
        <f aca="false">C54/100+1</f>
        <v>1.03086698059501</v>
      </c>
      <c r="G54" s="16" t="n">
        <f aca="false">D54/100+1</f>
        <v>1.01725698848663</v>
      </c>
    </row>
    <row r="55" customFormat="false" ht="15.75" hidden="false" customHeight="false" outlineLevel="0" collapsed="false">
      <c r="B55" s="13" t="n">
        <v>2009</v>
      </c>
      <c r="C55" s="15" t="n">
        <v>7.8618888330338</v>
      </c>
      <c r="D55" s="15" t="n">
        <v>-0.690618232300579</v>
      </c>
      <c r="E55" s="14" t="s">
        <v>24</v>
      </c>
      <c r="F55" s="16" t="n">
        <f aca="false">C55/100+1</f>
        <v>1.07861888833034</v>
      </c>
      <c r="G55" s="16" t="n">
        <f aca="false">D55/100+1</f>
        <v>0.993093817676994</v>
      </c>
    </row>
    <row r="56" customFormat="false" ht="15.75" hidden="false" customHeight="false" outlineLevel="0" collapsed="false">
      <c r="B56" s="13" t="n">
        <v>2010</v>
      </c>
      <c r="C56" s="15" t="n">
        <v>8.49758470165625</v>
      </c>
      <c r="D56" s="15" t="n">
        <v>7.51339053261624</v>
      </c>
      <c r="E56" s="14" t="s">
        <v>24</v>
      </c>
      <c r="F56" s="16" t="n">
        <f aca="false">C56/100+1</f>
        <v>1.08497584701656</v>
      </c>
      <c r="G56" s="16" t="n">
        <f aca="false">D56/100+1</f>
        <v>1.07513390532616</v>
      </c>
    </row>
    <row r="57" customFormat="false" ht="15.75" hidden="false" customHeight="false" outlineLevel="0" collapsed="false">
      <c r="B57" s="13" t="n">
        <v>2011</v>
      </c>
      <c r="C57" s="15" t="n">
        <v>5.24131620024293</v>
      </c>
      <c r="D57" s="15" t="n">
        <v>0.840132083053334</v>
      </c>
      <c r="E57" s="14" t="s">
        <v>24</v>
      </c>
      <c r="F57" s="16" t="n">
        <f aca="false">C57/100+1</f>
        <v>1.05241316200243</v>
      </c>
      <c r="G57" s="16" t="n">
        <f aca="false">D57/100+1</f>
        <v>1.00840132083053</v>
      </c>
    </row>
    <row r="58" customFormat="false" ht="15.75" hidden="false" customHeight="false" outlineLevel="0" collapsed="false">
      <c r="B58" s="13" t="n">
        <v>2012</v>
      </c>
      <c r="C58" s="15" t="n">
        <v>5.45638755164772</v>
      </c>
      <c r="D58" s="15" t="n">
        <v>7.24279620249642</v>
      </c>
      <c r="E58" s="14" t="s">
        <v>24</v>
      </c>
      <c r="F58" s="16" t="n">
        <f aca="false">C58/100+1</f>
        <v>1.05456387551648</v>
      </c>
      <c r="G58" s="16" t="n">
        <f aca="false">D58/100+1</f>
        <v>1.07242796202496</v>
      </c>
    </row>
    <row r="59" customFormat="false" ht="15.75" hidden="false" customHeight="false" outlineLevel="0" collapsed="false">
      <c r="B59" s="13" t="n">
        <v>2013</v>
      </c>
      <c r="C59" s="15" t="n">
        <v>6.38610640091713</v>
      </c>
      <c r="D59" s="15" t="n">
        <v>2.68749556320556</v>
      </c>
      <c r="E59" s="14" t="s">
        <v>24</v>
      </c>
      <c r="F59" s="16" t="n">
        <f aca="false">C59/100+1</f>
        <v>1.06386106400917</v>
      </c>
      <c r="G59" s="16" t="n">
        <f aca="false">D59/100+1</f>
        <v>1.02687495563206</v>
      </c>
    </row>
    <row r="60" customFormat="false" ht="15.75" hidden="false" customHeight="false" outlineLevel="0" collapsed="false">
      <c r="B60" s="13" t="n">
        <v>2014</v>
      </c>
      <c r="C60" s="15" t="n">
        <v>7.41022760516977</v>
      </c>
      <c r="D60" s="15" t="n">
        <v>0.984468863619426</v>
      </c>
      <c r="E60" s="14" t="s">
        <v>24</v>
      </c>
      <c r="F60" s="16" t="n">
        <f aca="false">C60/100+1</f>
        <v>1.0741022760517</v>
      </c>
      <c r="G60" s="16" t="n">
        <f aca="false">D60/100+1</f>
        <v>1.00984468863619</v>
      </c>
    </row>
    <row r="61" customFormat="false" ht="15.75" hidden="false" customHeight="false" outlineLevel="0" collapsed="false">
      <c r="B61" s="13" t="n">
        <v>2015</v>
      </c>
      <c r="C61" s="15" t="n">
        <v>7.99625378567987</v>
      </c>
      <c r="D61" s="15" t="n">
        <v>3.13404724911635</v>
      </c>
      <c r="E61" s="14" t="s">
        <v>24</v>
      </c>
      <c r="F61" s="16" t="n">
        <f aca="false">C61/100+1</f>
        <v>1.0799625378568</v>
      </c>
      <c r="G61" s="16" t="n">
        <f aca="false">D61/100+1</f>
        <v>1.03134047249116</v>
      </c>
    </row>
    <row r="62" customFormat="false" ht="15.75" hidden="false" customHeight="false" outlineLevel="0" collapsed="false">
      <c r="B62" s="13" t="n">
        <v>2016</v>
      </c>
      <c r="C62" s="15" t="n">
        <v>8.25630550176662</v>
      </c>
      <c r="D62" s="15" t="n">
        <v>3.43515771692182</v>
      </c>
      <c r="E62" s="14" t="s">
        <v>24</v>
      </c>
      <c r="F62" s="16" t="n">
        <f aca="false">C62/100+1</f>
        <v>1.08256305501767</v>
      </c>
      <c r="G62" s="16" t="n">
        <f aca="false">D62/100+1</f>
        <v>1.03435157716922</v>
      </c>
    </row>
    <row r="63" customFormat="false" ht="15.75" hidden="false" customHeight="false" outlineLevel="0" collapsed="false">
      <c r="B63" s="13" t="n">
        <v>2017</v>
      </c>
      <c r="C63" s="15" t="n">
        <v>6.79538341902422</v>
      </c>
      <c r="D63" s="15" t="n">
        <v>4.1776810321001</v>
      </c>
      <c r="E63" s="14" t="s">
        <v>24</v>
      </c>
      <c r="F63" s="16" t="n">
        <f aca="false">C63/100+1</f>
        <v>1.06795383419024</v>
      </c>
      <c r="G63" s="16" t="n">
        <f aca="false">D63/100+1</f>
        <v>1.041776810321</v>
      </c>
    </row>
    <row r="64" customFormat="false" ht="15.75" hidden="false" customHeight="false" outlineLevel="0" collapsed="false">
      <c r="B64" s="13" t="n">
        <v>2018</v>
      </c>
      <c r="C64" s="15" t="n">
        <v>6.45385134495295</v>
      </c>
      <c r="D64" s="15" t="n">
        <v>4.22287028746071</v>
      </c>
      <c r="E64" s="14" t="s">
        <v>24</v>
      </c>
      <c r="F64" s="16" t="n">
        <f aca="false">C64/100+1</f>
        <v>1.06453851344953</v>
      </c>
      <c r="G64" s="16" t="n">
        <f aca="false">D64/100+1</f>
        <v>1.04222870287461</v>
      </c>
    </row>
    <row r="65" customFormat="false" ht="15.75" hidden="false" customHeight="false" outlineLevel="0" collapsed="false">
      <c r="B65" s="13" t="n">
        <v>2019</v>
      </c>
      <c r="C65" s="15" t="n">
        <v>3.87143694070524</v>
      </c>
      <c r="D65" s="15" t="n">
        <v>2.11455779628278</v>
      </c>
      <c r="E65" s="14" t="s">
        <v>24</v>
      </c>
      <c r="F65" s="16" t="n">
        <f aca="false">C65/100+1</f>
        <v>1.03871436940705</v>
      </c>
      <c r="G65" s="16" t="n">
        <f aca="false">D65/100+1</f>
        <v>1.02114557796283</v>
      </c>
    </row>
    <row r="66" customFormat="false" ht="15.75" hidden="false" customHeight="false" outlineLevel="0" collapsed="false">
      <c r="B66" s="13" t="n">
        <v>2020</v>
      </c>
      <c r="C66" s="15" t="n">
        <v>-5.77772470687303</v>
      </c>
      <c r="D66" s="15" t="n">
        <v>-6.09306312966953</v>
      </c>
      <c r="E66" s="14" t="s">
        <v>24</v>
      </c>
      <c r="F66" s="16" t="n">
        <f aca="false">C66/100+1</f>
        <v>0.94222275293127</v>
      </c>
      <c r="G66" s="16" t="n">
        <f aca="false">D66/100+1</f>
        <v>0.939069368703305</v>
      </c>
    </row>
    <row r="67" customFormat="false" ht="15.75" hidden="false" customHeight="false" outlineLevel="0" collapsed="false">
      <c r="B67" s="13" t="n">
        <v>2021</v>
      </c>
      <c r="C67" s="15" t="n">
        <v>9.68959249191741</v>
      </c>
      <c r="D67" s="15" t="n">
        <v>1.55858232076893</v>
      </c>
      <c r="E67" s="14" t="s">
        <v>24</v>
      </c>
      <c r="F67" s="16" t="n">
        <f aca="false">C67/100+1</f>
        <v>1.09689592491917</v>
      </c>
      <c r="G67" s="16" t="n">
        <f aca="false">D67/100+1</f>
        <v>1.01558582320769</v>
      </c>
    </row>
    <row r="68" customFormat="false" ht="15.75" hidden="false" customHeight="false" outlineLevel="0" collapsed="false">
      <c r="B68" s="13" t="n">
        <v>2022</v>
      </c>
      <c r="C68" s="15" t="n">
        <v>7.6093649776932</v>
      </c>
      <c r="D68" s="15" t="n">
        <v>2.63784213566305</v>
      </c>
      <c r="E68" s="14" t="s">
        <v>24</v>
      </c>
      <c r="F68" s="16" t="n">
        <f aca="false">C68/100+1</f>
        <v>1.07609364977693</v>
      </c>
      <c r="G68" s="16" t="n">
        <f aca="false">D68/100+1</f>
        <v>1.02637842135663</v>
      </c>
    </row>
    <row r="69" customFormat="false" ht="15.75" hidden="false" customHeight="false" outlineLevel="0" collapsed="false">
      <c r="B69" s="13" t="n">
        <v>2023</v>
      </c>
      <c r="C69" s="15" t="n">
        <v>7.210224629335</v>
      </c>
      <c r="D69" s="15" t="n">
        <v>2.24883437970568</v>
      </c>
      <c r="E69" s="14" t="s">
        <v>24</v>
      </c>
      <c r="F69" s="16" t="n">
        <f aca="false">C69/100+1</f>
        <v>1.07210224629335</v>
      </c>
      <c r="G69" s="16" t="n">
        <f aca="false">D69/100+1</f>
        <v>1.02248834379706</v>
      </c>
    </row>
    <row r="70" customFormat="false" ht="15.75" hidden="false" customHeight="false" outlineLevel="0" collapsed="false">
      <c r="B70" s="13" t="n">
        <v>2024</v>
      </c>
      <c r="C70" s="15" t="n">
        <v>7.09927893176518</v>
      </c>
      <c r="D70" s="15" t="n">
        <v>2.94859986593323</v>
      </c>
      <c r="E70" s="14" t="s">
        <v>24</v>
      </c>
      <c r="F70" s="16" t="n">
        <f aca="false">C70/100+1</f>
        <v>1.07099278931765</v>
      </c>
      <c r="G70" s="16" t="n">
        <f aca="false">D70/100+1</f>
        <v>1.02948599865933</v>
      </c>
    </row>
    <row r="71" customFormat="false" ht="15.75" hidden="false" customHeight="false" outlineLevel="0" collapsed="false">
      <c r="B71" s="13" t="n">
        <v>2025</v>
      </c>
      <c r="C71" s="15" t="n">
        <v>7.56666179284244</v>
      </c>
      <c r="D71" s="15" t="n">
        <v>2.44247444990198</v>
      </c>
      <c r="E71" s="14" t="s">
        <v>24</v>
      </c>
      <c r="F71" s="16" t="n">
        <f aca="false">C71/100+1</f>
        <v>1.07566661792842</v>
      </c>
      <c r="G71" s="16" t="n">
        <f aca="false">D71/100+1</f>
        <v>1.02442474449902</v>
      </c>
    </row>
  </sheetData>
  <hyperlinks>
    <hyperlink ref="A1" r:id="rId1" display="https://data.worldbank.org/indicator/NY.GDP.MKTP.KD.Z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2026-09-26T08:49:10Z</dcterms:created>
  <dc:creator>Kentaro Iio</dc:creator>
  <dc:description/>
  <dc:language>ja-JP</dc:language>
  <cp:lastModifiedBy>Kentaro Iio</cp:lastModifiedBy>
  <dcterms:modified xsi:type="dcterms:W3CDTF">2026-09-26T13:50:26Z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